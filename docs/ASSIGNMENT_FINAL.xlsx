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285dab9c0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fc9fd5da8df44551"/>
    <x:sheet xmlns:r="http://schemas.openxmlformats.org/officeDocument/2006/relationships" name="Phân công" sheetId="2" r:id="R25dc303dff294261"/>
    <x:sheet xmlns:r="http://schemas.openxmlformats.org/officeDocument/2006/relationships" name="Chi tiết TV1" sheetId="3" r:id="Rfec21be19a6f4aad"/>
    <x:sheet xmlns:r="http://schemas.openxmlformats.org/officeDocument/2006/relationships" name="Chi tiết TV2" sheetId="4" r:id="Rd61068daf9d74283"/>
    <x:sheet xmlns:r="http://schemas.openxmlformats.org/officeDocument/2006/relationships" name="Chi tiết TV3" sheetId="5" r:id="Rb672de6cdf204481"/>
    <x:sheet xmlns:r="http://schemas.openxmlformats.org/officeDocument/2006/relationships" name="Tiến độ" sheetId="6" r:id="Rba93ff0a970a48c0"/>
    <x:sheet xmlns:r="http://schemas.openxmlformats.org/officeDocument/2006/relationships" name="Nghiệm thu" sheetId="7" r:id="R23102684a0384ea6"/>
  </x:sheets>
</x:workbook>
</file>

<file path=xl/comments1.xml><?xml version="1.0" encoding="utf-8"?>
<x:comments xmlns:x="http://schemas.openxmlformats.org/spreadsheetml/2006/main">
  <x:authors>
    <x:author>tc={FA26BF04-2990-8C55-AAED-5A786C1BB4C4}</x:author>
    <x:author>tc={F62462A8-F4C7-DA5F-F704-AEAD97D765F2}</x:author>
  </x:authors>
  <x:commentList>
    <x:comment ref="E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Điền deadline thật theo lịch môn học; không dùng ngày giả định.
Reply:
    Sau khi điền, sao chép deadline tương ứng sang sheet Tiến độ.</x:t>
        </x:r>
      </x:text>
    </x:comment>
    <x:comment ref="D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Tỷ lệ dự kiến theo khối lượng: TV1 33%, TV2 34%, TV3 33%.
Reply:
    Tỷ lệ cuối cập nhật theo commit, file bàn giao và review thực tế.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6">
    <x:font>
      <x:sz val="11"/>
      <x:name val="Carlito"/>
    </x:font>
    <x:font>
      <x:b/>
      <x:sz val="18"/>
      <x:color rgb="FFFFFFFF"/>
      <x:name val="Times New Roman"/>
    </x:font>
    <x:font>
      <x:b/>
      <x:sz val="11"/>
      <x:color rgb="FF17365D"/>
      <x:name val="Times New Roman"/>
    </x:font>
    <x:font>
      <x:b/>
      <x:sz val="12"/>
      <x:color rgb="FFFFFFFF"/>
      <x:name val="Times New Roman"/>
    </x:font>
    <x:font>
      <x:b/>
      <x:sz val="11"/>
      <x:color rgb="FFFFFFFF"/>
      <x:name val="Times New Roman"/>
    </x:font>
    <x:font>
      <x:sz val="11"/>
      <x:color rgb="FF111111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F81BD"/>
      </x:patternFill>
    </x:fill>
    <x:fill>
      <x:patternFill patternType="solid">
        <x:fgColor rgb="FFF79646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</x:fills>
  <x:borders count="3">
    <x:border/>
    <x:border>
      <x:left style="thin">
        <x:color rgb="FF8094AA"/>
      </x:left>
      <x:right style="thin">
        <x:color rgb="FF8094AA"/>
      </x:right>
      <x:top style="thin">
        <x:color rgb="FF8094AA"/>
      </x:top>
      <x:bottom style="thin">
        <x:color rgb="FF8094AA"/>
      </x:bottom>
    </x:border>
    <x:border>
      <x:left style="thin">
        <x:color rgb="FFC7D1DC"/>
      </x:left>
      <x:right style="thin">
        <x:color rgb="FFC7D1DC"/>
      </x:right>
      <x:top style="thin">
        <x:color rgb="FFC7D1DC"/>
      </x:top>
      <x:bottom style="thin">
        <x:color rgb="FFC7D1DC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left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5" fillId="7" borderId="2" xfId="0" applyNumberFormat="1" applyFont="1" applyFill="1" applyBorder="1" applyAlignment="1">
      <x:alignment horizontal="left" vertical="top" wrapText="1"/>
    </x:xf>
    <x:xf numFmtId="0" fontId="2" fillId="7" borderId="2" xfId="0" applyNumberFormat="1" applyFont="1" applyFill="1" applyBorder="1" applyAlignment="1">
      <x:alignment horizontal="left" vertical="top" wrapText="1"/>
    </x:xf>
    <x:xf numFmtId="200" fontId="5" fillId="0" borderId="2" xfId="0" applyNumberFormat="1" applyFont="1" applyFill="1" applyBorder="1" applyAlignment="1">
      <x:alignment horizontal="left" vertical="top" wrapText="1"/>
    </x:xf>
    <x:xf numFmtId="200" fontId="5" fillId="7" borderId="2" xfId="0" applyNumberFormat="1" applyFont="1" applyFill="1" applyBorder="1" applyAlignment="1">
      <x:alignment horizontal="left" vertical="top" wrapText="1"/>
    </x:xf>
    <x:xf numFmtId="201" fontId="5" fillId="0" borderId="2" xfId="0" applyNumberFormat="1" applyFont="1" applyFill="1" applyBorder="1" applyAlignment="1">
      <x:alignment horizontal="left" vertical="top" wrapText="1"/>
    </x:xf>
    <x:xf numFmtId="201" fontId="5" fillId="7" borderId="2" xfId="0" applyNumberFormat="1" applyFont="1" applyFill="1" applyBorder="1" applyAlignment="1">
      <x:alignment horizontal="left" vertical="top" wrapText="1"/>
    </x:xf>
    <x:xf numFmtId="201" fontId="5" fillId="6" borderId="2" xfId="0" applyNumberFormat="1" applyFont="1" applyFill="1" applyBorder="1" applyAlignment="1">
      <x:alignment horizontal="left" vertical="top" wrapText="1"/>
    </x:xf>
    <x:xf numFmtId="200" fontId="5" fillId="0" borderId="2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1" fontId="5" fillId="0" borderId="2" xfId="0" applyNumberFormat="1" applyFont="1" applyFill="1" applyBorder="1" applyAlignment="1">
      <x:alignment horizontal="left" vertical="center" wrapText="1"/>
    </x:xf>
    <x:xf numFmtId="201" fontId="5" fillId="6" borderId="2" xfId="0" applyNumberFormat="1" applyFont="1" applyFill="1" applyBorder="1" applyAlignment="1">
      <x:alignment horizontal="left" vertical="center" wrapText="1"/>
    </x:xf>
    <x:xf numFmtId="200" fontId="5" fillId="0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4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DCE6F1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DCE6F1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DCE6F1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DCE6F1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DCE6F1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DCE6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f221201eb4764" /><Relationship Type="http://schemas.openxmlformats.org/officeDocument/2006/relationships/theme" Target="/xl/theme/theme1.xml" Id="R71da3182679943d3" /><Relationship Type="http://schemas.openxmlformats.org/officeDocument/2006/relationships/sharedStrings" Target="/xl/sharedStrings.xml" Id="Raeb44f5bbde14ebd" /><Relationship Type="http://schemas.openxmlformats.org/officeDocument/2006/relationships/worksheet" Target="/xl/worksheets/sheet1.xml" Id="Rfc9fd5da8df44551" /><Relationship Type="http://schemas.openxmlformats.org/officeDocument/2006/relationships/worksheet" Target="/xl/worksheets/sheet2.xml" Id="R25dc303dff294261" /><Relationship Type="http://schemas.openxmlformats.org/officeDocument/2006/relationships/worksheet" Target="/xl/worksheets/sheet3.xml" Id="Rfec21be19a6f4aad" /><Relationship Type="http://schemas.openxmlformats.org/officeDocument/2006/relationships/worksheet" Target="/xl/worksheets/sheet4.xml" Id="Rd61068daf9d74283" /><Relationship Type="http://schemas.openxmlformats.org/officeDocument/2006/relationships/worksheet" Target="/xl/worksheets/sheet5.xml" Id="Rb672de6cdf204481" /><Relationship Type="http://schemas.openxmlformats.org/officeDocument/2006/relationships/worksheet" Target="/xl/worksheets/sheet6.xml" Id="Rba93ff0a970a48c0" /><Relationship Type="http://schemas.openxmlformats.org/officeDocument/2006/relationships/worksheet" Target="/xl/worksheets/sheet7.xml" Id="R23102684a0384ea6" /><Relationship Type="http://schemas.microsoft.com/office/2017/10/relationships/person" Target="/xl/persons/person.xml" Id="R02617414ccec4d84" /></Relationships>
</file>

<file path=xl/persons/person.xml><?xml version="1.0" encoding="utf-8"?>
<xltc:personList xmlns:xltc="http://schemas.microsoft.com/office/spreadsheetml/2018/threadedcomments">
  <xltc:person displayName="Nhóm BTL Xử lý ảnh" id="{0E2F7E92-3EFC-4934-BEFD-0D1B5667884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11" dT="2026-08-24T14:29:06.901" personId="{0E2F7E92-3EFC-4934-BEFD-0D1B5667884E}" id="{FA26BF04-2990-8C55-AAED-5A786C1BB4C4}">
    <xltc:text>Điền deadline thật theo lịch môn học; không dùng ngày giả định.</xltc:text>
  </xltc:threadedComment>
  <xltc:threadedComment ref="E11" dT="2026-08-24T14:29:06.901" personId="{0E2F7E92-3EFC-4934-BEFD-0D1B5667884E}" id="{80CD79C6-C5FE-47D3-A88E-1CDF97161F7C}" parentId="{FA26BF04-2990-8C55-AAED-5A786C1BB4C4}">
    <xltc:text>Sau khi điền, sao chép deadline tương ứng sang sheet Tiến độ.</xltc:text>
  </xltc:threadedComment>
  <xltc:threadedComment ref="D11" dT="2026-08-24T14:29:06.901" personId="{0E2F7E92-3EFC-4934-BEFD-0D1B5667884E}" id="{F62462A8-F4C7-DA5F-F704-AEAD97D765F2}">
    <xltc:text>Tỷ lệ dự kiến theo khối lượng: TV1 33%, TV2 34%, TV3 33%.</xltc:text>
  </xltc:threadedComment>
  <xltc:threadedComment ref="D11" dT="2026-08-24T14:29:06.901" personId="{0E2F7E92-3EFC-4934-BEFD-0D1B5667884E}" id="{0C663076-2D15-4DAB-B9F5-CE2236E8657F}" parentId="{F62462A8-F4C7-DA5F-F704-AEAD97D765F2}">
    <xltc:text>Tỷ lệ cuối cập nhật theo commit, file bàn giao và review thực tế.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95adc6fcbf641e1" /><Relationship Type="http://schemas.openxmlformats.org/officeDocument/2006/relationships/vmlDrawing" Target="/xl/drawings/vmldrawing.vml" Id="Ra125b18ab25f4836" /><Relationship Type="http://schemas.microsoft.com/office/2017/10/relationships/threadedComment" Target="/xl/threadedcomments/threadedcomment.xml" Id="Rb4f526d1bae146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6" hidden="0" customWidth="1"/>
    <x:col min="4" max="4" width="4" hidden="0" customWidth="1"/>
    <x:col min="5" max="5" width="18" hidden="0" customWidth="1"/>
    <x:col min="6" max="6" width="38" hidden="0" customWidth="1"/>
    <x:col min="7" max="7" width="20" hidden="0" customWidth="1"/>
    <x:col min="8" max="8" width="22" hidden="0" customWidth="1"/>
  </x:cols>
  <x:sheetData>
    <x:row r="1" ht="34" customHeight="1">
      <x:c r="A1" s="5" t="str">
        <x:v>HƯỚNG DẪN ĐỌC BẢN PHÂN CÔNG — STREAMLIT STANDALONE</x:v>
      </x:c>
      <x:c r="B1" s="5"/>
      <x:c r="C1" s="5"/>
      <x:c r="D1" s="5"/>
      <x:c r="E1" s="5"/>
      <x:c r="F1" s="5"/>
      <x:c r="G1" s="5"/>
      <x:c r="H1" s="5"/>
    </x:row>
    <x:row r="2" ht="34" customHeight="1">
      <x:c r="A2" s="9" t="str">
        <x:v>Bảy sheet là nguồn phân công và nghiệm thu. Tên thành viên/deadline chưa được cung cấp nên không được tự điền.</x:v>
      </x:c>
      <x:c r="B2" s="9"/>
      <x:c r="C2" s="9"/>
      <x:c r="D2" s="9"/>
      <x:c r="E2" s="9"/>
      <x:c r="F2" s="9"/>
      <x:c r="G2" s="9"/>
      <x:c r="H2" s="9"/>
    </x:row>
    <x:row r="4" ht="26" customHeight="1">
      <x:c r="A4" s="13" t="str">
        <x:v>1. Cách sử dụng</x:v>
      </x:c>
      <x:c r="B4" s="13"/>
      <x:c r="C4" s="13"/>
      <x:c r="D4" s="13"/>
      <x:c r="E4" s="13"/>
      <x:c r="F4" s="13"/>
      <x:c r="G4" s="13"/>
      <x:c r="H4" s="13"/>
    </x:row>
    <x:row r="5">
      <x:c r="A5" s="18" t="str">
        <x:v>Bước</x:v>
      </x:c>
      <x:c r="B5" s="18" t="str">
        <x:v>Thao tác</x:v>
      </x:c>
      <x:c r="C5" s="18" t="str">
        <x:v>Kết quả cần có</x:v>
      </x:c>
    </x:row>
    <x:row r="6" ht="38" customHeight="1">
      <x:c r="A6" s="24" t="str">
        <x:v>1</x:v>
      </x:c>
      <x:c r="B6" s="23" t="str">
        <x:v>Mở sheet Phân công</x:v>
      </x:c>
      <x:c r="C6" s="23" t="str">
        <x:v>Đọc đúng 3 thành viên, phần chính và mô tả tổng thể.</x:v>
      </x:c>
    </x:row>
    <x:row r="7" ht="38" customHeight="1">
      <x:c r="A7" s="24" t="str">
        <x:v>2</x:v>
      </x:c>
      <x:c r="B7" s="23" t="str">
        <x:v>Mở Chi tiết TV1/TV2/TV3</x:v>
      </x:c>
      <x:c r="C7" s="23" t="str">
        <x:v>Xem các hạng mục, đầu ra và cách kiểm tra cụ thể.</x:v>
      </x:c>
    </x:row>
    <x:row r="8" ht="38" customHeight="1">
      <x:c r="A8" s="24" t="str">
        <x:v>3</x:v>
      </x:c>
      <x:c r="B8" s="23" t="str">
        <x:v>Cập nhật Tiến độ/Nghiệm thu</x:v>
      </x:c>
      <x:c r="C8" s="23" t="str">
        <x:v>Điền deadline thật; reviewer xác nhận Hoàn thành.</x:v>
      </x:c>
    </x:row>
    <x:row r="10" ht="26" customHeight="1">
      <x:c r="A10" s="13" t="str">
        <x:v>2. Ý nghĩa trạng thái</x:v>
      </x:c>
      <x:c r="B10" s="13"/>
      <x:c r="C10" s="13"/>
      <x:c r="E10" s="29" t="str">
        <x:v>3. Thông tin nhóm phải điền</x:v>
      </x:c>
      <x:c r="F10" s="29"/>
      <x:c r="G10" s="29"/>
      <x:c r="H10" s="29"/>
    </x:row>
    <x:row r="11">
      <x:c r="A11" s="18" t="str">
        <x:v>Trạng thái</x:v>
      </x:c>
      <x:c r="B11" s="18" t="str">
        <x:v>Ý nghĩa</x:v>
      </x:c>
      <x:c r="C11" s="18" t="str">
        <x:v>Điều kiện chuyển bước</x:v>
      </x:c>
      <x:c r="E11" s="18" t="str">
        <x:v>Mục</x:v>
      </x:c>
      <x:c r="F11" s="18" t="str">
        <x:v>Cần điền</x:v>
      </x:c>
      <x:c r="G11" s="18" t="str">
        <x:v>Ai cập nhật</x:v>
      </x:c>
      <x:c r="H11" s="18" t="str">
        <x:v>Thời điểm</x:v>
      </x:c>
    </x:row>
    <x:row r="12" ht="34" customHeight="1">
      <x:c r="A12" s="25" t="str">
        <x:v>Đang thực hiện</x:v>
      </x:c>
      <x:c r="B12" s="25" t="str">
        <x:v>Đang tạo/sửa file.</x:v>
      </x:c>
      <x:c r="C12" s="25" t="str">
        <x:v>Có file và lệnh tự kiểm tra.</x:v>
      </x:c>
      <x:c r="E12" s="25" t="str">
        <x:v>Danh tính</x:v>
      </x:c>
      <x:c r="F12" s="25" t="str">
        <x:v>Họ tên, MSSV, email/GitHub</x:v>
      </x:c>
      <x:c r="G12" s="25" t="str">
        <x:v>Cả nhóm</x:v>
      </x:c>
      <x:c r="H12" s="25" t="str">
        <x:v>Trước khi dùng</x:v>
      </x:c>
    </x:row>
    <x:row r="13" ht="34" customHeight="1">
      <x:c r="A13" s="25" t="str">
        <x:v>Chờ review</x:v>
      </x:c>
      <x:c r="B13" s="25" t="str">
        <x:v>Đã bàn giao, chưa duyệt.</x:v>
      </x:c>
      <x:c r="C13" s="25" t="str">
        <x:v>Reviewer chạy lại kiểm tra.</x:v>
      </x:c>
      <x:c r="E13" s="25" t="str">
        <x:v>Deadline</x:v>
      </x:c>
      <x:c r="F13" s="25" t="str">
        <x:v>Ngày thật theo lịch môn</x:v>
      </x:c>
      <x:c r="G13" s="25" t="str">
        <x:v>Nhóm trưởng</x:v>
      </x:c>
      <x:c r="H13" s="25" t="str">
        <x:v>Khi chốt lịch</x:v>
      </x:c>
    </x:row>
    <x:row r="14" ht="34" customHeight="1">
      <x:c r="A14" s="25" t="str">
        <x:v>Chờ FULL_RUN/model</x:v>
      </x:c>
      <x:c r="B14" s="25" t="str">
        <x:v>Phụ thuộc raw data, GPU, checkpoint và kết quả thật.</x:v>
      </x:c>
      <x:c r="C14" s="25" t="str">
        <x:v>Run All; model; results/final; manifest; checksum.</x:v>
      </x:c>
      <x:c r="E14" s="25" t="str">
        <x:v>Kết quả</x:v>
      </x:c>
      <x:c r="F14" s="25" t="str">
        <x:v>Model và metric CNN thật</x:v>
      </x:c>
      <x:c r="G14" s="25" t="str">
        <x:v>TV2</x:v>
      </x:c>
      <x:c r="H14" s="25" t="str">
        <x:v>Sau Colab</x:v>
      </x:c>
    </x:row>
    <x:row r="15" ht="34" customHeight="1">
      <x:c r="A15" s="25" t="str">
        <x:v>Bị chặn</x:v>
      </x:c>
      <x:c r="B15" s="25" t="str">
        <x:v>Thiếu quyền/tài khoản/đầu vào.</x:v>
      </x:c>
      <x:c r="C15" s="25" t="str">
        <x:v>Ghi người và bằng chứng gỡ chặn.</x:v>
      </x:c>
      <x:c r="E15" s="25" t="str">
        <x:v>URL</x:v>
      </x:c>
      <x:c r="F15" s="25" t="str">
        <x:v>GitHub và Streamlit Community Cloud</x:v>
      </x:c>
      <x:c r="G15" s="25" t="str">
        <x:v>TV3</x:v>
      </x:c>
      <x:c r="H15" s="25" t="str">
        <x:v>Sau deploy</x:v>
      </x:c>
    </x:row>
    <x:row r="16" ht="34" customHeight="1">
      <x:c r="A16" s="25" t="str">
        <x:v>Hoàn thành</x:v>
      </x:c>
      <x:c r="B16" s="25" t="str">
        <x:v>Đã qua kiểm tra chéo.</x:v>
      </x:c>
      <x:c r="C16" s="25" t="str">
        <x:v>Reviewer xác nhận; không placeholder.</x:v>
      </x:c>
      <x:c r="E16" s="25" t="str">
        <x:v>Duyệt</x:v>
      </x:c>
      <x:c r="F16" s="25" t="str">
        <x:v>Reviewer và ngày xác nhận</x:v>
      </x:c>
      <x:c r="G16" s="25" t="str">
        <x:v>Người review</x:v>
      </x:c>
      <x:c r="H16" s="25" t="str">
        <x:v>Mỗi bàn giao</x:v>
      </x:c>
    </x:row>
  </x:sheetData>
  <x:mergeCells>
    <x:mergeCell ref="A1:H1"/>
    <x:mergeCell ref="A2:H2"/>
    <x:mergeCell ref="A4:H4"/>
    <x:mergeCell ref="A10:C10"/>
    <x:mergeCell ref="E10:H10"/>
  </x:mergeCells>
  <x:conditionalFormatting sqref="A12:A16">
    <x:cfRule type="containsText" dxfId="0" priority="1" operator="containsText" text="Hoàn thành"/>
    <x:cfRule type="containsText" dxfId="1" priority="2" operator="containsText" text="Bị chặn"/>
    <x:cfRule type="containsText" dxfId="2" priority="3" operator="containsText" text="Chờ"/>
    <x:cfRule type="containsText" dxfId="3" priority="4" operator="containsText" text="Đang thực hiện"/>
  </x:conditionalFormatting>
  <x:dataValidations count="1">
    <x:dataValidation type="list" sqref="A12:A16">
      <x:formula1>"Chưa bắt đầu,Đang thực hiện,Chờ review,Chờ Colab,Chờ model,Chờ kết quả,Hoàn thành,Bị chặn"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122" hidden="0" customWidth="1"/>
    <x:col min="4" max="4" width="14" hidden="0" customWidth="1"/>
    <x:col min="5" max="5" width="16" hidden="0" customWidth="1"/>
    <x:col min="6" max="6" width="20" hidden="0" customWidth="1"/>
  </x:cols>
  <x:sheetData>
    <x:row r="1" ht="34" customHeight="1">
      <x:c r="A1" s="5" t="str">
        <x:v>PHÂN CÔNG CÔNG VIỆC BA THÀNH VIÊN — BẢN STREAMLIT STANDALONE</x:v>
      </x:c>
      <x:c r="B1" s="5"/>
      <x:c r="C1" s="5"/>
    </x:row>
    <x:row r="2" ht="34" customHeight="1">
      <x:c r="A2" s="33" t="str">
        <x:v>Mỗi thành viên có một mảng chính; nội dung chi tiết bao quát code, notebook, báo cáo, slide, bàn giao và phối hợp.</x:v>
      </x:c>
      <x:c r="B2" s="33"/>
      <x:c r="C2" s="33"/>
    </x:row>
    <x:row r="4" ht="34" customHeight="1">
      <x:c r="A4" s="18" t="str">
        <x:v>Thành viên</x:v>
      </x:c>
      <x:c r="B4" s="18" t="str">
        <x:v>Phần phụ trách chính</x:v>
      </x:c>
      <x:c r="C4" s="18" t="str">
        <x:v>Nội dung thực hiện chi tiết</x:v>
      </x:c>
    </x:row>
    <x:row r="5" ht="250" customHeight="1">
      <x:c r="A5" s="35" t="str">
        <x:v>TV1 · Chưa cung cấp họ tên/MSSV</x:v>
      </x:c>
      <x:c r="B5" s="37" t="str">
        <x:v>Dữ liệu, EDA, split và suy giảm</x:v>
      </x:c>
      <x:c r="C5" s="25" t="str">
        <x:v>Audit inventory ghi sẵn và chạy lại khi có data/flower_photos; kiểm tra decode, EXIF, SHA-256, duplicate/cross-label, số ảnh/lớp và EDA. Duy trì grouped-stratified split 2.568/550/550, seed 42, class order và test 0 overlap path/hash. Chịu trách nhiệm data/inventory.csv, artifacts/data_audit.json, splits/*.csv, src/data_validation.py, src/data_split.py, src/preprocessing.py, src/degradations.py, figures/eda và unit test dữ liệu. Bàn giao nguồn số liệu dùng chung cho notebook, báo cáo, slide và TV2/TV3; không coi inventory ghi sẵn là thay thế raw-data audit.</x:v>
      </x:c>
    </x:row>
    <x:row r="6" ht="250" customHeight="1">
      <x:c r="A6" s="35" t="str">
        <x:v>TV2 · Chưa cung cấp họ tên/MSSV</x:v>
      </x:c>
      <x:c r="B6" s="37" t="str">
        <x:v>Xử lý ảnh, MobileNetV2 và đánh giá</x:v>
      </x:c>
      <x:c r="C6" s="25" t="str">
        <x:v>Cài đặt/tune Gamma, CLAHE nội suy song tuyến tính, Gaussian/Median/Bilateral, sharpening và RGB/HSV/Lab chỉ trên Validation. Duy trì một MobileNetV2 hai giai đoạn, một checkpoint models/mobilenetv2_flowers.keras, class mapping và preprocessing contract. Chạy FULL_RUN 49 điều kiện bằng batch inference; xuất configs/locked_enhancement_params.json, artifacts/training/history.csv, results/final/predictions.csv, condition_metrics.csv, per_class_metrics.csv, statistical_tests.csv, confusion matrices, error_analysis.csv và manifest.json. Chịu trách nhiệm src/enhancements.py, model.py, train.py, tuning.py, evaluate.py, classification_metrics.py, error_analysis.py và notebook. Không dùng surrogate hoặc Test để chọn tham số.</x:v>
      </x:c>
    </x:row>
    <x:row r="7" ht="250" customHeight="1">
      <x:c r="A7" s="35" t="str">
        <x:v>TV3 · Chưa cung cấp họ tên/MSSV</x:v>
      </x:c>
      <x:c r="B7" s="37" t="str">
        <x:v>Streamlit, CI/deploy và hồ sơ</x:v>
      </x:c>
      <x:c r="C7" s="25" t="str">
        <x:v>Tích hợp ứng dụng production duy nhất bằng streamlit_app.py và app_components; import trực tiếp src, không HTTP nội bộ. Model cache bằng @st.cache_resource; config/locked params cache phù hợp; thiếu model/config thì khóa dự đoán, không fallback. Duy trì root requirements.txt, một Dockerfile Streamlit, CI, validator --require-final, test upload/pipeline/AppTest khi dependency có sẵn, README và docs/STREAMLIT_DEPLOYMENT.md. Tổng hợp REPORT_FINAL.docx/pdf, SLIDES_FINAL.pptx, ASSIGNMENT_FINAL.xlsx; render QA. Khi có quyền, deploy Streamlit Community Cloud, lưu URL/commit/checksum/latency/screenshot thật; không tạo URL hoặc screenshot giả.</x:v>
      </x:c>
    </x:row>
    <x:row r="10" ht="34" customHeight="1">
      <x:c r="A10" s="18" t="str">
        <x:v>Thành viên</x:v>
      </x:c>
      <x:c r="B10" s="18" t="str">
        <x:v>Phần chính</x:v>
      </x:c>
      <x:c r="C10" s="18" t="str">
        <x:v>Reviewer</x:v>
      </x:c>
      <x:c r="D10" s="18" t="str">
        <x:v>Tỷ lệ</x:v>
      </x:c>
      <x:c r="E10" s="18" t="str">
        <x:v>Deadline</x:v>
      </x:c>
      <x:c r="F10" s="18" t="str">
        <x:v>Trạng thái</x:v>
      </x:c>
    </x:row>
    <x:row r="11" ht="65" customHeight="1">
      <x:c r="A11" s="25" t="str">
        <x:v>TV1 · Chưa cung cấp</x:v>
      </x:c>
      <x:c r="B11" s="25" t="str">
        <x:v>Dữ liệu, EDA, split và suy giảm</x:v>
      </x:c>
      <x:c r="C11" s="25" t="str">
        <x:v>TV2 kiểm tra split/tham số; TV3 kiểm tra tích hợp</x:v>
      </x:c>
      <x:c r="D11" s="38" t="n">
        <x:v>0.33</x:v>
      </x:c>
      <x:c r="E11" s="42"/>
      <x:c r="F11" s="25" t="str">
        <x:v>Chờ audit dữ liệu</x:v>
      </x:c>
    </x:row>
    <x:row r="12" ht="65" customHeight="1">
      <x:c r="A12" s="36" t="str">
        <x:v>TV2 · Chưa cung cấp</x:v>
      </x:c>
      <x:c r="B12" s="36" t="str">
        <x:v>Xử lý ảnh, CNN và đánh giá</x:v>
      </x:c>
      <x:c r="C12" s="36" t="str">
        <x:v>TV1 kiểm tra dữ liệu; TV3 kiểm tra model package</x:v>
      </x:c>
      <x:c r="D12" s="39" t="n">
        <x:v>0.34</x:v>
      </x:c>
      <x:c r="E12" s="42"/>
      <x:c r="F12" s="36" t="str">
        <x:v>Chờ FULL_RUN</x:v>
      </x:c>
    </x:row>
    <x:row r="13" ht="65" customHeight="1">
      <x:c r="A13" s="25" t="str">
        <x:v>TV3 · Chưa cung cấp</x:v>
      </x:c>
      <x:c r="B13" s="25" t="str">
        <x:v>Streamlit, deploy và hồ sơ</x:v>
      </x:c>
      <x:c r="C13" s="25" t="str">
        <x:v>TV1/TV2 review nội dung khoa học và artifact</x:v>
      </x:c>
      <x:c r="D13" s="38" t="n">
        <x:v>0.33</x:v>
      </x:c>
      <x:c r="E13" s="42"/>
      <x:c r="F13" s="25" t="str">
        <x:v>Chờ model/deploy</x:v>
      </x:c>
    </x:row>
    <x:row r="15">
      <x:c r="A15" s="18" t="str">
        <x:v>Kiểm tra</x:v>
      </x:c>
      <x:c r="B15" s="18" t="str">
        <x:v>Số thành viên</x:v>
      </x:c>
      <x:c r="C15" s="18" t="str">
        <x:v>Tổng tỷ lệ</x:v>
      </x:c>
      <x:c r="D15" s="18" t="str">
        <x:v>Kết luận</x:v>
      </x:c>
    </x:row>
    <x:row r="16">
      <x:c r="A16" s="24" t="str">
        <x:v>Tổng</x:v>
      </x:c>
      <x:c r="B16" s="24" t="n">
        <x:f>COUNTA(A11:A13)</x:f>
        <x:v>3</x:v>
      </x:c>
      <x:c r="C16" s="43" t="n">
        <x:f>SUM(D11:D13)</x:f>
        <x:v>1</x:v>
      </x:c>
      <x:c r="D16" s="24" t="str">
        <x:f>IF(AND(B16=3,C16=1),"Hợp lệ","Cần kiểm tra")</x:f>
        <x:v>Hợp lệ</x:v>
      </x:c>
    </x:row>
  </x:sheetData>
  <x:mergeCells>
    <x:mergeCell ref="A1:C1"/>
    <x:mergeCell ref="A2:C2"/>
  </x:mergeCells>
  <x:conditionalFormatting sqref="F11:F13">
    <x:cfRule type="containsText" dxfId="4" priority="1" operator="containsText" text="Hoàn thành"/>
    <x:cfRule type="containsText" dxfId="5" priority="2" operator="containsText" text="Bị chặn"/>
    <x:cfRule type="containsText" dxfId="6" priority="3" operator="containsText" text="Chờ"/>
    <x:cfRule type="containsText" dxfId="7" priority="4" operator="containsText" text="Đang thực hiện"/>
  </x:conditionalFormatting>
  <x:dataValidations count="1">
    <x:dataValidation type="list" sqref="F11:F13">
      <x:formula1>"Chờ audit dữ liệu,Chờ FULL_RUN,Chờ model/deploy,Hoàn thành,Bị chặn"</x:formula1>
    </x:dataValidation>
  </x:dataValidations>
  <x:pageMargins left="0.7" right="0.7" top="0.75" bottom="0.75" header="0.3" footer="0.3"/>
  <x:legacyDrawing xmlns:r="http://schemas.openxmlformats.org/officeDocument/2006/relationships" r:id="Ra125b18ab25f483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64" hidden="0" customWidth="1"/>
    <x:col min="4" max="4" width="36" hidden="0" customWidth="1"/>
    <x:col min="5" max="5" width="36" hidden="0" customWidth="1"/>
    <x:col min="6" max="6" width="18" hidden="0" customWidth="1"/>
  </x:cols>
  <x:sheetData>
    <x:row r="1" ht="34" customHeight="1">
      <x:c r="A1" s="5" t="str">
        <x:v>CHI TIẾT PHẦN VIỆC — TV1</x:v>
      </x:c>
      <x:c r="B1" s="5"/>
      <x:c r="C1" s="5"/>
    </x:row>
    <x:row r="2" ht="34" customHeight="1">
      <x:c r="A2" s="8" t="str">
        <x:v>TV1 · Chưa cung cấp họ tên/MSSV | Phụ trách: dữ liệu, EDA, split, preprocessing và suy giảm</x:v>
      </x:c>
      <x:c r="B2" s="8"/>
      <x:c r="C2" s="8"/>
    </x:row>
    <x:row r="3" ht="34" customHeight="1">
      <x:c r="A3" s="45" t="str">
        <x:v>Reviewer: TV2 kiểm tra split/tham số; TV3 kiểm tra tích hợp | Tỷ lệ: 33% | Deadline: chưa cung cấp</x:v>
      </x:c>
      <x:c r="B3" s="45"/>
      <x:c r="C3" s="45"/>
    </x:row>
    <x:row r="5" ht="34" customHeight="1">
      <x:c r="A5" s="18" t="str">
        <x:v>Hạng mục</x:v>
      </x:c>
      <x:c r="B5" s="18" t="str">
        <x:v>Nội dung thực hiện chi tiết</x:v>
      </x:c>
      <x:c r="C5" s="18" t="str">
        <x:v>Sản phẩm bàn giao và cách kiểm tra</x:v>
      </x:c>
    </x:row>
    <x:row r="6" ht="112" customHeight="1">
      <x:c r="A6" s="35" t="str">
        <x:v>Audit dữ liệu và EDA</x:v>
      </x:c>
      <x:c r="B6" s="36" t="str">
        <x:v>Kiểm tra decode/EXIF/RGB, kích thước, SHA-256, duplicate, cross-label, corrupt; tái sinh EDA khi có raw data.</x:v>
      </x:c>
      <x:c r="C6" s="36" t="str">
        <x:v>data/inventory.csv; artifacts/data_audit.json; figures/eda. Hiện inventory là hồ sơ ghi sẵn, cần audit lại raw data.</x:v>
      </x:c>
    </x:row>
    <x:row r="7" ht="112" customHeight="1">
      <x:c r="A7" s="35" t="str">
        <x:v>Split và preprocessing</x:v>
      </x:c>
      <x:c r="B7" s="25" t="str">
        <x:v>Grouped-stratified 70/15/15, seed 42; 0 overlap path/hash; EXIF → RGB → letterbox LANCZOS dùng chung.</x:v>
      </x:c>
      <x:c r="C7" s="25" t="str">
        <x:v>splits/*.csv; src/data_split.py; src/preprocessing.py; unit test same-image/same-tensor.</x:v>
      </x:c>
    </x:row>
    <x:row r="8" ht="112" customHeight="1">
      <x:c r="A8" s="35" t="str">
        <x:v>Suy giảm có kiểm soát</x:v>
      </x:c>
      <x:c r="B8" s="36" t="str">
        <x:v>Năm suy giảm × ba mức; tham số và seed xác định; ma trận đúng 49 điều kiện duy nhất.</x:v>
      </x:c>
      <x:c r="C8" s="36" t="str">
        <x:v>src/degradations.py; configs/degradation_matrix.json; tests; degradation grid.</x:v>
      </x:c>
    </x:row>
    <x:row r="9" ht="112" customHeight="1">
      <x:c r="A9" s="35" t="str">
        <x:v>Handoff và hồ sơ</x:v>
      </x:c>
      <x:c r="B9" s="25" t="str">
        <x:v>Đồng bộ số ảnh/split/class order vào notebook, README, Word, PPT và Excel.</x:v>
      </x:c>
      <x:c r="C9" s="25" t="str">
        <x:v>Reviewer đối chiếu với CSV/JSON; không chép tay số chưa có bằng chứng.</x:v>
      </x:c>
    </x:row>
    <x:row r="12" ht="28" customHeight="1">
      <x:c r="A12" s="13" t="str">
        <x:v>Ô cập nhật của thành viên</x:v>
      </x:c>
      <x:c r="B12" s="13"/>
      <x:c r="C12" s="13"/>
    </x:row>
    <x:row r="13" ht="42" customHeight="1">
      <x:c r="A13" s="18" t="str">
        <x:v>Deadline</x:v>
      </x:c>
      <x:c r="B13" s="18" t="str">
        <x:v>% hoàn thành</x:v>
      </x:c>
      <x:c r="C13" s="18" t="str">
        <x:v>Trạng thái</x:v>
      </x:c>
      <x:c r="D13" s="18" t="str">
        <x:v>Bằng chứng/commit/link</x:v>
      </x:c>
      <x:c r="E13" s="18" t="str">
        <x:v>Phản hồi reviewer</x:v>
      </x:c>
      <x:c r="F13" s="18" t="str">
        <x:v>Ngày duyệt</x:v>
      </x:c>
    </x:row>
    <x:row r="14" ht="42" customHeight="1">
      <x:c r="A14" s="47" t="str">
        <x:v>Chưa cung cấp</x:v>
      </x:c>
      <x:c r="B14" s="48" t="n">
        <x:v>0.85</x:v>
      </x:c>
      <x:c r="C14" s="23" t="str">
        <x:v>Chờ audit dữ liệu</x:v>
      </x:c>
      <x:c r="D14" s="23" t="str">
        <x:v>data/inventory.csv; project validator core</x:v>
      </x:c>
      <x:c r="E14" s="23" t="str">
        <x:v>Cần raw data để tái sinh audit/EDA</x:v>
      </x:c>
      <x:c r="F14" s="46"/>
    </x:row>
  </x:sheetData>
  <x:mergeCells>
    <x:mergeCell ref="A1:C1"/>
    <x:mergeCell ref="A2:C2"/>
    <x:mergeCell ref="A3:C3"/>
    <x:mergeCell ref="A12:C12"/>
  </x:mergeCells>
  <x:conditionalFormatting sqref="C14:C14">
    <x:cfRule type="containsText" dxfId="8" priority="1" operator="containsText" text="Hoàn thành"/>
    <x:cfRule type="containsText" dxfId="9" priority="2" operator="containsText" text="Bị chặn"/>
    <x:cfRule type="containsText" dxfId="10" priority="3" operator="containsText" text="Chờ"/>
    <x:cfRule type="containsText" dxfId="11" priority="4" operator="containsText" text="Đang thực hiện"/>
  </x:conditionalFormatting>
  <x:dataValidations count="1">
    <x:dataValidation type="list" sqref="C14">
      <x:formula1>"Chưa bắt đầu,Đang thực hiện,Chờ review,Chờ Colab,Chờ model,Chờ kết quả,Hoàn thành,Bị chặn"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64" hidden="0" customWidth="1"/>
    <x:col min="4" max="4" width="36" hidden="0" customWidth="1"/>
    <x:col min="5" max="5" width="36" hidden="0" customWidth="1"/>
    <x:col min="6" max="6" width="18" hidden="0" customWidth="1"/>
  </x:cols>
  <x:sheetData>
    <x:row r="1" ht="34" customHeight="1">
      <x:c r="A1" s="5" t="str">
        <x:v>CHI TIẾT PHẦN VIỆC — TV2</x:v>
      </x:c>
      <x:c r="B1" s="5"/>
      <x:c r="C1" s="5"/>
    </x:row>
    <x:row r="2" ht="34" customHeight="1">
      <x:c r="A2" s="8" t="str">
        <x:v>TV2 · Chưa cung cấp họ tên/MSSV | Phụ trách: xử lý ảnh, MobileNetV2 và đánh giá FULL_RUN</x:v>
      </x:c>
      <x:c r="B2" s="8"/>
      <x:c r="C2" s="8"/>
    </x:row>
    <x:row r="3" ht="34" customHeight="1">
      <x:c r="A3" s="45" t="str">
        <x:v>Reviewer: TV1 kiểm tra dữ liệu/điều kiện; TV3 kiểm tra model package | Tỷ lệ: 34% | Deadline: chưa cung cấp</x:v>
      </x:c>
      <x:c r="B3" s="45"/>
      <x:c r="C3" s="45"/>
    </x:row>
    <x:row r="5" ht="34" customHeight="1">
      <x:c r="A5" s="18" t="str">
        <x:v>Hạng mục</x:v>
      </x:c>
      <x:c r="B5" s="18" t="str">
        <x:v>Nội dung thực hiện chi tiết</x:v>
      </x:c>
      <x:c r="C5" s="18" t="str">
        <x:v>Sản phẩm bàn giao và cách kiểm tra</x:v>
      </x:c>
    </x:row>
    <x:row r="6" ht="112" customHeight="1">
      <x:c r="A6" s="35" t="str">
        <x:v>Kỹ thuật xử lý ảnh</x:v>
      </x:c>
      <x:c r="B6" s="36" t="str">
        <x:v>Gamma, CLAHE, Gaussian/Median/Bilateral, unsharp/sharpening và RGB/HSV/Lab; tune Validation-only.</x:v>
      </x:c>
      <x:c r="C6" s="36" t="str">
        <x:v>src/enhancements.py; configs/locked_enhancement_params.json; tests; figures. Locked params hiện chưa có.</x:v>
      </x:c>
    </x:row>
    <x:row r="7" ht="112" customHeight="1">
      <x:c r="A7" s="35" t="str">
        <x:v>MobileNetV2 và huấn luyện</x:v>
      </x:c>
      <x:c r="B7" s="25" t="str">
        <x:v>Một model hai giai đoạn, cùng preprocessing/augmentation/seed; lưu checkpoint, history, curves, metadata.</x:v>
      </x:c>
      <x:c r="C7" s="25" t="str">
        <x:v>models/mobilenetv2_flowers.keras; artifacts/training/history.csv; class_names.json; process mới load lại được.</x:v>
      </x:c>
    </x:row>
    <x:row r="8" ht="112" customHeight="1">
      <x:c r="A8" s="35" t="str">
        <x:v>Đánh giá 49 điều kiện</x:v>
      </x:c>
      <x:c r="B8" s="36" t="str">
        <x:v>Batch inference; Accuracy/Macro P-R-F1/Weighted F1, per-class, paired bootstrap CI, McNemar, confusion và latency.</x:v>
      </x:c>
      <x:c r="C8" s="36" t="str">
        <x:v>results/final/predictions.csv; condition_metrics.csv; per_class_metrics.csv; statistical_tests.csv; manifest.json.</x:v>
      </x:c>
    </x:row>
    <x:row r="9" ht="112" customHeight="1">
      <x:c r="A9" s="35" t="str">
        <x:v>Phân tích và handoff</x:v>
      </x:c>
      <x:c r="B9" s="25" t="str">
        <x:v>Best/worst, robustness theo mức, PSNR/SSIM–Macro F1, lỗi theo lớp; đồng bộ report/slide/app.</x:v>
      </x:c>
      <x:c r="C9" s="25" t="str">
        <x:v>error_analysis.csv + figures; không dùng surrogate; Test chỉ báo cáo sau khi khóa.</x:v>
      </x:c>
    </x:row>
    <x:row r="12" ht="28" customHeight="1">
      <x:c r="A12" s="13" t="str">
        <x:v>Ô cập nhật của thành viên</x:v>
      </x:c>
      <x:c r="B12" s="13"/>
      <x:c r="C12" s="13"/>
    </x:row>
    <x:row r="13" ht="42" customHeight="1">
      <x:c r="A13" s="18" t="str">
        <x:v>Deadline</x:v>
      </x:c>
      <x:c r="B13" s="18" t="str">
        <x:v>% hoàn thành</x:v>
      </x:c>
      <x:c r="C13" s="18" t="str">
        <x:v>Trạng thái</x:v>
      </x:c>
      <x:c r="D13" s="18" t="str">
        <x:v>Bằng chứng/commit/link</x:v>
      </x:c>
      <x:c r="E13" s="18" t="str">
        <x:v>Phản hồi reviewer</x:v>
      </x:c>
      <x:c r="F13" s="18" t="str">
        <x:v>Ngày duyệt</x:v>
      </x:c>
    </x:row>
    <x:row r="14" ht="42" customHeight="1">
      <x:c r="A14" s="47" t="str">
        <x:v>Chưa cung cấp</x:v>
      </x:c>
      <x:c r="B14" s="48" t="n">
        <x:v>0.65</x:v>
      </x:c>
      <x:c r="C14" s="23" t="str">
        <x:v>Chờ FULL_RUN</x:v>
      </x:c>
      <x:c r="D14" s="23" t="str">
        <x:v>Source/training/evaluation đã sẵn sàng</x:v>
      </x:c>
      <x:c r="E14" s="23" t="str">
        <x:v>Thiếu raw data, TensorFlow/GPU và checkpoint</x:v>
      </x:c>
      <x:c r="F14" s="46"/>
    </x:row>
  </x:sheetData>
  <x:mergeCells>
    <x:mergeCell ref="A1:C1"/>
    <x:mergeCell ref="A2:C2"/>
    <x:mergeCell ref="A3:C3"/>
    <x:mergeCell ref="A12:C12"/>
  </x:mergeCells>
  <x:conditionalFormatting sqref="C14:C14">
    <x:cfRule type="containsText" dxfId="12" priority="1" operator="containsText" text="Hoàn thành"/>
    <x:cfRule type="containsText" dxfId="13" priority="2" operator="containsText" text="Bị chặn"/>
    <x:cfRule type="containsText" dxfId="14" priority="3" operator="containsText" text="Chờ"/>
    <x:cfRule type="containsText" dxfId="15" priority="4" operator="containsText" text="Đang thực hiện"/>
  </x:conditionalFormatting>
  <x:dataValidations count="1">
    <x:dataValidation type="list" sqref="C14">
      <x:formula1>"Chưa bắt đầu,Đang thực hiện,Chờ review,Chờ Colab,Chờ model,Chờ kết quả,Hoàn thành,Bị chặn"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64" hidden="0" customWidth="1"/>
    <x:col min="4" max="4" width="36" hidden="0" customWidth="1"/>
    <x:col min="5" max="5" width="36" hidden="0" customWidth="1"/>
    <x:col min="6" max="6" width="18" hidden="0" customWidth="1"/>
  </x:cols>
  <x:sheetData>
    <x:row r="1" ht="34" customHeight="1">
      <x:c r="A1" s="5" t="str">
        <x:v>CHI TIẾT PHẦN VIỆC — TV3</x:v>
      </x:c>
      <x:c r="B1" s="5"/>
      <x:c r="C1" s="5"/>
    </x:row>
    <x:row r="2" ht="34" customHeight="1">
      <x:c r="A2" s="8" t="str">
        <x:v>TV3 · Chưa cung cấp họ tên/MSSV | Phụ trách: Streamlit standalone, CI/deploy và hồ sơ</x:v>
      </x:c>
      <x:c r="B2" s="8"/>
      <x:c r="C2" s="8"/>
    </x:row>
    <x:row r="3" ht="34" customHeight="1">
      <x:c r="A3" s="45" t="str">
        <x:v>Reviewer: TV1/TV2 kiểm tra khoa học và model contract | Tỷ lệ: 33% | Deadline: chưa cung cấp</x:v>
      </x:c>
      <x:c r="B3" s="45"/>
      <x:c r="C3" s="45"/>
    </x:row>
    <x:row r="5" ht="34" customHeight="1">
      <x:c r="A5" s="18" t="str">
        <x:v>Hạng mục</x:v>
      </x:c>
      <x:c r="B5" s="18" t="str">
        <x:v>Nội dung thực hiện chi tiết</x:v>
      </x:c>
      <x:c r="C5" s="18" t="str">
        <x:v>Sản phẩm bàn giao và cách kiểm tra</x:v>
      </x:c>
    </x:row>
    <x:row r="6" ht="112" customHeight="1">
      <x:c r="A6" s="35" t="str">
        <x:v>Tích hợp repository</x:v>
      </x:c>
      <x:c r="B6" s="36" t="str">
        <x:v>Notebook, app_components và Streamlit import trực tiếp src; root dependency duy nhất; legacy tách khỏi production.</x:v>
      </x:c>
      <x:c r="C6" s="36" t="str">
        <x:v>Compile/unit test/validator core đạt; không secret, dataset, cache hoặc archive trong package.</x:v>
      </x:c>
    </x:row>
    <x:row r="7" ht="112" customHeight="1">
      <x:c r="A7" s="35" t="str">
        <x:v>Streamlit và Docker</x:v>
      </x:c>
      <x:c r="B7" s="25" t="str">
        <x:v>Upload bytes thật; 10 MB; EXIF/RGB; locked params; một batched predict; cache model; error states; một Dockerfile.</x:v>
      </x:c>
      <x:c r="C7" s="25" t="str">
        <x:v>streamlit_app.py; app_components; tests; Dockerfile; không HTTP nội bộ hoặc surrogate fallback.</x:v>
      </x:c>
    </x:row>
    <x:row r="8" ht="112" customHeight="1">
      <x:c r="A8" s="35" t="str">
        <x:v>CI và deploy cloud</x:v>
      </x:c>
      <x:c r="B8" s="36" t="str">
        <x:v>CI compile/lint/test/validator/smoke. Deploy Streamlit Community Cloud sau khi có model và quyền; lưu bằng chứng thật.</x:v>
      </x:c>
      <x:c r="C8" s="36" t="str">
        <x:v>docs/STREAMLIT_DEPLOYMENT.md; deployment_verification.json và screenshot chỉ sau deploy thật.</x:v>
      </x:c>
    </x:row>
    <x:row r="9" ht="112" customHeight="1">
      <x:c r="A9" s="35" t="str">
        <x:v>Tài liệu và bàn giao</x:v>
      </x:c>
      <x:c r="B9" s="25" t="str">
        <x:v>README, Word/PDF, 22 slide, Excel 7 sheet; render QA và quét chuỗi cũ/đường dẫn tuyệt đối.</x:v>
      </x:c>
      <x:c r="C9" s="25" t="str">
        <x:v>REPORT_FINAL.*, SLIDES_FINAL.pptx, ASSIGNMENT_FINAL.xlsx; final package + SHA256SUMS.</x:v>
      </x:c>
    </x:row>
    <x:row r="12" ht="28" customHeight="1">
      <x:c r="A12" s="13" t="str">
        <x:v>Ô cập nhật của thành viên</x:v>
      </x:c>
      <x:c r="B12" s="13"/>
      <x:c r="C12" s="13"/>
    </x:row>
    <x:row r="13" ht="42" customHeight="1">
      <x:c r="A13" s="18" t="str">
        <x:v>Deadline</x:v>
      </x:c>
      <x:c r="B13" s="18" t="str">
        <x:v>% hoàn thành</x:v>
      </x:c>
      <x:c r="C13" s="18" t="str">
        <x:v>Trạng thái</x:v>
      </x:c>
      <x:c r="D13" s="18" t="str">
        <x:v>Bằng chứng/commit/link</x:v>
      </x:c>
      <x:c r="E13" s="18" t="str">
        <x:v>Phản hồi reviewer</x:v>
      </x:c>
      <x:c r="F13" s="18" t="str">
        <x:v>Ngày duyệt</x:v>
      </x:c>
    </x:row>
    <x:row r="14" ht="42" customHeight="1">
      <x:c r="A14" s="47" t="str">
        <x:v>Chưa cung cấp</x:v>
      </x:c>
      <x:c r="B14" s="48" t="n">
        <x:v>0.9</x:v>
      </x:c>
      <x:c r="C14" s="23" t="str">
        <x:v>Chờ model/deploy</x:v>
      </x:c>
      <x:c r="D14" s="23" t="str">
        <x:v>Source, docs và QA đã nâng cấp</x:v>
      </x:c>
      <x:c r="E14" s="23" t="str">
        <x:v>Thiếu checkpoint, AppTest runtime và quyền Cloud</x:v>
      </x:c>
      <x:c r="F14" s="46"/>
    </x:row>
  </x:sheetData>
  <x:mergeCells>
    <x:mergeCell ref="A1:C1"/>
    <x:mergeCell ref="A2:C2"/>
    <x:mergeCell ref="A3:C3"/>
    <x:mergeCell ref="A12:C12"/>
  </x:mergeCells>
  <x:conditionalFormatting sqref="C14:C14">
    <x:cfRule type="containsText" dxfId="16" priority="1" operator="containsText" text="Hoàn thành"/>
    <x:cfRule type="containsText" dxfId="17" priority="2" operator="containsText" text="Bị chặn"/>
    <x:cfRule type="containsText" dxfId="18" priority="3" operator="containsText" text="Chờ"/>
    <x:cfRule type="containsText" dxfId="19" priority="4" operator="containsText" text="Đang thực hiện"/>
  </x:conditionalFormatting>
  <x:dataValidations count="1">
    <x:dataValidation type="list" sqref="C14">
      <x:formula1>"Chưa bắt đầu,Đang thực hiện,Chờ review,Chờ Colab,Chờ model,Chờ kết quả,Hoàn thành,Bị chặn"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16" hidden="0" customWidth="1"/>
    <x:col min="4" max="4" width="18" hidden="0" customWidth="1"/>
    <x:col min="5" max="5" width="15" hidden="0" customWidth="1"/>
    <x:col min="6" max="6" width="18" hidden="0" customWidth="1"/>
    <x:col min="7" max="7" width="16" hidden="0" customWidth="1"/>
    <x:col min="8" max="8" width="39" hidden="0" customWidth="1"/>
    <x:col min="9" max="9" width="39" hidden="0" customWidth="1"/>
    <x:col min="10" max="10" width="34" hidden="0" customWidth="1"/>
  </x:cols>
  <x:sheetData>
    <x:row r="1" ht="34" customHeight="1">
      <x:c r="A1" s="5" t="str">
        <x:v>THEO DÕI TIẾN ĐỘ VÀ KIỂM TRA CHÉO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8" customHeight="1">
      <x:c r="A2" s="45" t="str">
        <x:v>Deadline chưa được cung cấp. Chỉ chuyển Hoàn thành khi reviewer chạy lại cổng tương ứng; không cộng điểm cho artifact chưa có.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4" ht="38" customHeight="1">
      <x:c r="A4" s="18" t="str">
        <x:v>ID</x:v>
      </x:c>
      <x:c r="B4" s="18" t="str">
        <x:v>Sản phẩm bàn giao</x:v>
      </x:c>
      <x:c r="C4" s="18" t="str">
        <x:v>Người chính</x:v>
      </x:c>
      <x:c r="D4" s="18" t="str">
        <x:v>Reviewer</x:v>
      </x:c>
      <x:c r="E4" s="18" t="str">
        <x:v>Deadline</x:v>
      </x:c>
      <x:c r="F4" s="18" t="str">
        <x:v>Trạng thái</x:v>
      </x:c>
      <x:c r="G4" s="18" t="str">
        <x:v>% hoàn thành</x:v>
      </x:c>
      <x:c r="H4" s="18" t="str">
        <x:v>Bằng chứng</x:v>
      </x:c>
      <x:c r="I4" s="18" t="str">
        <x:v>Tiêu chí nghiệm thu</x:v>
      </x:c>
      <x:c r="J4" s="18" t="str">
        <x:v>Việc tiếp theo</x:v>
      </x:c>
    </x:row>
    <x:row r="5" ht="58" customHeight="1">
      <x:c r="A5" s="25" t="str">
        <x:v>D01</x:v>
      </x:c>
      <x:c r="B5" s="25" t="str">
        <x:v>Inventory ghi sẵn + EDA</x:v>
      </x:c>
      <x:c r="C5" s="25" t="str">
        <x:v>TV1</x:v>
      </x:c>
      <x:c r="D5" s="25" t="str">
        <x:v>TV2</x:v>
      </x:c>
      <x:c r="E5" s="42"/>
      <x:c r="F5" s="25" t="str">
        <x:v>Chờ audit lại</x:v>
      </x:c>
      <x:c r="G5" s="38" t="n">
        <x:v>0.85</x:v>
      </x:c>
      <x:c r="H5" s="25" t="str">
        <x:v>data/inventory.csv; artifacts/data_audit.json</x:v>
      </x:c>
      <x:c r="I5" s="25" t="str">
        <x:v>3.668 valid trong hồ sơ; raw audit tái sinh</x:v>
      </x:c>
      <x:c r="J5" s="25" t="str">
        <x:v>Khôi phục data/flower_photos</x:v>
      </x:c>
    </x:row>
    <x:row r="6" ht="58" customHeight="1">
      <x:c r="A6" s="36" t="str">
        <x:v>D02</x:v>
      </x:c>
      <x:c r="B6" s="36" t="str">
        <x:v>Split + 5×3 suy giảm + ma trận 49</x:v>
      </x:c>
      <x:c r="C6" s="36" t="str">
        <x:v>TV1</x:v>
      </x:c>
      <x:c r="D6" s="36" t="str">
        <x:v>TV2</x:v>
      </x:c>
      <x:c r="E6" s="42"/>
      <x:c r="F6" s="36" t="str">
        <x:v>Hoàn thành</x:v>
      </x:c>
      <x:c r="G6" s="39" t="n">
        <x:v>1</x:v>
      </x:c>
      <x:c r="H6" s="36" t="str">
        <x:v>splits/*.csv; degradation_matrix.json</x:v>
      </x:c>
      <x:c r="I6" s="36" t="str">
        <x:v>0 overlap; 49 khóa duy nhất</x:v>
      </x:c>
      <x:c r="J6" s="36" t="str">
        <x:v>Giữ checksum khi FULL_RUN</x:v>
      </x:c>
    </x:row>
    <x:row r="7" ht="58" customHeight="1">
      <x:c r="A7" s="25" t="str">
        <x:v>D03</x:v>
      </x:c>
      <x:c r="B7" s="25" t="str">
        <x:v>Xử lý ảnh + preprocessing</x:v>
      </x:c>
      <x:c r="C7" s="25" t="str">
        <x:v>TV2</x:v>
      </x:c>
      <x:c r="D7" s="25" t="str">
        <x:v>TV1</x:v>
      </x:c>
      <x:c r="E7" s="42"/>
      <x:c r="F7" s="25" t="str">
        <x:v>Hoàn thành</x:v>
      </x:c>
      <x:c r="G7" s="38" t="n">
        <x:v>1</x:v>
      </x:c>
      <x:c r="H7" s="25" t="str">
        <x:v>src/preprocessing.py; enhancements.py; tests</x:v>
      </x:c>
      <x:c r="I7" s="25" t="str">
        <x:v>Contract dùng chung; CLAHE nội suy</x:v>
      </x:c>
      <x:c r="J7" s="25" t="str">
        <x:v>Tune Validation khi có model</x:v>
      </x:c>
    </x:row>
    <x:row r="8" ht="58" customHeight="1">
      <x:c r="A8" s="36" t="str">
        <x:v>D04</x:v>
      </x:c>
      <x:c r="B8" s="36" t="str">
        <x:v>MobileNetV2 + kết quả CNN 49 điều kiện</x:v>
      </x:c>
      <x:c r="C8" s="36" t="str">
        <x:v>TV2</x:v>
      </x:c>
      <x:c r="D8" s="36" t="str">
        <x:v>TV1</x:v>
      </x:c>
      <x:c r="E8" s="42"/>
      <x:c r="F8" s="36" t="str">
        <x:v>Chờ FULL_RUN</x:v>
      </x:c>
      <x:c r="G8" s="39" t="n">
        <x:v>0.65</x:v>
      </x:c>
      <x:c r="H8" s="36" t="str">
        <x:v>src/train.py; evaluate.py; run_full_pipeline.py</x:v>
      </x:c>
      <x:c r="I8" s="36" t="str">
        <x:v>Checkpoint + history + results/final</x:v>
      </x:c>
      <x:c r="J8" s="36" t="str">
        <x:v>Chạy Colab/GPU và lưu artifact</x:v>
      </x:c>
    </x:row>
    <x:row r="9" ht="58" customHeight="1">
      <x:c r="A9" s="25" t="str">
        <x:v>D05</x:v>
      </x:c>
      <x:c r="B9" s="25" t="str">
        <x:v>Thống kê + phân tích lỗi</x:v>
      </x:c>
      <x:c r="C9" s="25" t="str">
        <x:v>TV2</x:v>
      </x:c>
      <x:c r="D9" s="25" t="str">
        <x:v>TV1</x:v>
      </x:c>
      <x:c r="E9" s="42"/>
      <x:c r="F9" s="25" t="str">
        <x:v>Chờ FULL_RUN</x:v>
      </x:c>
      <x:c r="G9" s="38" t="n">
        <x:v>0.55</x:v>
      </x:c>
      <x:c r="H9" s="25" t="str">
        <x:v>classification_metrics.py; error_analysis.py</x:v>
      </x:c>
      <x:c r="I9" s="25" t="str">
        <x:v>CI paired; McNemar; per-class; gallery</x:v>
      </x:c>
      <x:c r="J9" s="25" t="str">
        <x:v>Sinh từ predictions thật</x:v>
      </x:c>
    </x:row>
    <x:row r="10" ht="58" customHeight="1">
      <x:c r="A10" s="36" t="str">
        <x:v>D06</x:v>
      </x:c>
      <x:c r="B10" s="36" t="str">
        <x:v>Repository + test + CI + Docker</x:v>
      </x:c>
      <x:c r="C10" s="36" t="str">
        <x:v>TV3</x:v>
      </x:c>
      <x:c r="D10" s="36" t="str">
        <x:v>TV1 &amp; TV2</x:v>
      </x:c>
      <x:c r="E10" s="42"/>
      <x:c r="F10" s="36" t="str">
        <x:v>Hoàn thành</x:v>
      </x:c>
      <x:c r="G10" s="39" t="n">
        <x:v>1</x:v>
      </x:c>
      <x:c r="H10" s="36" t="str">
        <x:v>CI; Makefile; Dockerfile; validator</x:v>
      </x:c>
      <x:c r="I10" s="36" t="str">
        <x:v>Pytest: 21 PASS, 1 SKIP; validator core; một service</x:v>
      </x:c>
      <x:c r="J10" s="36" t="str">
        <x:v>Cài dependency để chạy lint/smoke</x:v>
      </x:c>
    </x:row>
    <x:row r="11" ht="58" customHeight="1">
      <x:c r="A11" s="25" t="str">
        <x:v>D07</x:v>
      </x:c>
      <x:c r="B11" s="25" t="str">
        <x:v>Streamlit standalone</x:v>
      </x:c>
      <x:c r="C11" s="25" t="str">
        <x:v>TV3</x:v>
      </x:c>
      <x:c r="D11" s="25" t="str">
        <x:v>TV1 &amp; TV2</x:v>
      </x:c>
      <x:c r="E11" s="42"/>
      <x:c r="F11" s="25" t="str">
        <x:v>Chờ model/AppTest</x:v>
      </x:c>
      <x:c r="G11" s="38" t="n">
        <x:v>0.9</x:v>
      </x:c>
      <x:c r="H11" s="25" t="str">
        <x:v>streamlit_app.py; app_components; tests</x:v>
      </x:c>
      <x:c r="I11" s="25" t="str">
        <x:v>Cache model; error states; one batch</x:v>
      </x:c>
      <x:c r="J11" s="25" t="str">
        <x:v>Gắn checkpoint và chạy AppTest</x:v>
      </x:c>
    </x:row>
    <x:row r="12" ht="58" customHeight="1">
      <x:c r="A12" s="36" t="str">
        <x:v>D08</x:v>
      </x:c>
      <x:c r="B12" s="36" t="str">
        <x:v>README + Word/PDF</x:v>
      </x:c>
      <x:c r="C12" s="36" t="str">
        <x:v>TV3</x:v>
      </x:c>
      <x:c r="D12" s="36" t="str">
        <x:v>TV1 &amp; TV2</x:v>
      </x:c>
      <x:c r="E12" s="42"/>
      <x:c r="F12" s="36" t="str">
        <x:v>Hoàn thành</x:v>
      </x:c>
      <x:c r="G12" s="39" t="n">
        <x:v>1</x:v>
      </x:c>
      <x:c r="H12" s="36" t="str">
        <x:v>README.md; docs/REPORT_FINAL.*</x:v>
      </x:c>
      <x:c r="I12" s="36" t="str">
        <x:v>Streamlit-only; render sạch; không số giả</x:v>
      </x:c>
      <x:c r="J12" s="36" t="str">
        <x:v>Điền thông tin hành chính/kết quả</x:v>
      </x:c>
    </x:row>
    <x:row r="13" ht="58" customHeight="1">
      <x:c r="A13" s="25" t="str">
        <x:v>D09</x:v>
      </x:c>
      <x:c r="B13" s="25" t="str">
        <x:v>Slide + Excel</x:v>
      </x:c>
      <x:c r="C13" s="25" t="str">
        <x:v>TV3</x:v>
      </x:c>
      <x:c r="D13" s="25" t="str">
        <x:v>TV1 &amp; TV2</x:v>
      </x:c>
      <x:c r="E13" s="42"/>
      <x:c r="F13" s="25" t="str">
        <x:v>Hoàn thành</x:v>
      </x:c>
      <x:c r="G13" s="38" t="n">
        <x:v>1</x:v>
      </x:c>
      <x:c r="H13" s="25" t="str">
        <x:v>docs/SLIDES_FINAL.pptx; ASSIGNMENT_FINAL.xlsx</x:v>
      </x:c>
      <x:c r="I13" s="25" t="str">
        <x:v>22 slide; notes tương đối; 7 sheet</x:v>
      </x:c>
      <x:c r="J13" s="25" t="str">
        <x:v>Điền thành viên/deadline</x:v>
      </x:c>
    </x:row>
    <x:row r="14" ht="58" customHeight="1">
      <x:c r="A14" s="36" t="str">
        <x:v>D10</x:v>
      </x:c>
      <x:c r="B14" s="36" t="str">
        <x:v>GitHub + Streamlit Cloud</x:v>
      </x:c>
      <x:c r="C14" s="36" t="str">
        <x:v>TV3</x:v>
      </x:c>
      <x:c r="D14" s="36" t="str">
        <x:v>TV2</x:v>
      </x:c>
      <x:c r="E14" s="42"/>
      <x:c r="F14" s="36" t="str">
        <x:v>Bị chặn</x:v>
      </x:c>
      <x:c r="G14" s="39" t="n">
        <x:v>0.4</x:v>
      </x:c>
      <x:c r="H14" s="36" t="str">
        <x:v>docs/GITHUB_SETUP.md; STREAMLIT_DEPLOYMENT.md</x:v>
      </x:c>
      <x:c r="I14" s="36" t="str">
        <x:v>URL/commit/checksum/screenshot thật</x:v>
      </x:c>
      <x:c r="J14" s="36" t="str">
        <x:v>Cần tài khoản, model và quyền deploy</x:v>
      </x:c>
    </x:row>
    <x:row r="16">
      <x:c r="A16" s="18" t="str">
        <x:v>Tổng deliverable</x:v>
      </x:c>
      <x:c r="B16" s="18" t="str">
        <x:v>Trung bình hoàn thành</x:v>
      </x:c>
      <x:c r="C16" s="18" t="str">
        <x:v>Đã hoàn thành</x:v>
      </x:c>
      <x:c r="D16" s="18" t="str">
        <x:v>Bị chặn</x:v>
      </x:c>
      <x:c r="E16" s="18" t="str">
        <x:v>Chờ phụ thuộc</x:v>
      </x:c>
    </x:row>
    <x:row r="17">
      <x:c r="A17" s="24" t="n">
        <x:f>COUNTA(A5:A14)</x:f>
        <x:v>10</x:v>
      </x:c>
      <x:c r="B17" s="43" t="n">
        <x:f>AVERAGE(G5:G14)</x:f>
        <x:v>0.835</x:v>
      </x:c>
      <x:c r="C17" s="24" t="n">
        <x:f>COUNTIF(F5:F14,"Hoàn thành")</x:f>
        <x:v>5</x:v>
      </x:c>
      <x:c r="D17" s="24" t="n">
        <x:f>COUNTIF(F5:F14,"Bị chặn")</x:f>
        <x:v>1</x:v>
      </x:c>
      <x:c r="E17" s="24" t="n">
        <x:f>COUNTIF(F5:F14,"Chờ audit lại")+COUNTIF(F5:F14,"Chờ FULL_RUN")+COUNTIF(F5:F14,"Chờ model/AppTest")</x:f>
        <x:v>4</x:v>
      </x:c>
    </x:row>
  </x:sheetData>
  <x:mergeCells>
    <x:mergeCell ref="A1:J1"/>
    <x:mergeCell ref="A2:J2"/>
  </x:mergeCells>
  <x:conditionalFormatting sqref="F5:F14">
    <x:cfRule type="containsText" dxfId="20" priority="1" operator="containsText" text="Hoàn thành"/>
    <x:cfRule type="containsText" dxfId="21" priority="2" operator="containsText" text="Bị chặn"/>
    <x:cfRule type="containsText" dxfId="22" priority="3" operator="containsText" text="Chờ"/>
    <x:cfRule type="containsText" dxfId="23" priority="4" operator="containsText" text="Đang thực hiện"/>
  </x:conditionalFormatting>
  <x:conditionalFormatting sqref="G5:G14">
    <x:cfRule type="dataBar" priority="5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{A6064EE9-5AB1-18EE-B799-3EEAD2912D4C}</x14:id>
        </x:ext>
      </x:extLst>
    </x:cfRule>
  </x:conditionalFormatting>
  <x:dataValidations count="1">
    <x:dataValidation type="list" sqref="F5:F14">
      <x:formula1>"Hoàn thành,Chờ audit lại,Chờ FULL_RUN,Chờ model/AppTest,Bị chặn"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A6064EE9-5AB1-18EE-B799-3EEAD2912D4C}">
            <x14:dataBar gradient="1">
              <x14:cfvo type="min"/>
              <x14:cfvo type="max"/>
              <x14:fillColor rgb="FF4F81BD"/>
            </x14:dataBar>
          </x14:cfRule>
          <xm:sqref>G5:G14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4" hidden="0" customWidth="1"/>
    <x:col min="4" max="4" width="18" hidden="0" customWidth="1"/>
    <x:col min="5" max="5" width="35" hidden="0" customWidth="1"/>
    <x:col min="6" max="6" width="41" hidden="0" customWidth="1"/>
    <x:col min="7" max="7" width="24" hidden="0" customWidth="1"/>
  </x:cols>
  <x:sheetData>
    <x:row r="1" ht="34" customHeight="1">
      <x:c r="A1" s="5" t="str">
        <x:v>TIÊU CHÍ NGHIỆM THU — STREAMLIT STANDALONE VÀ FULL_RUN</x:v>
      </x:c>
      <x:c r="B1" s="5"/>
      <x:c r="C1" s="5"/>
      <x:c r="D1" s="5"/>
      <x:c r="E1" s="5"/>
      <x:c r="F1" s="5"/>
      <x:c r="G1" s="5"/>
    </x:row>
    <x:row r="2" ht="38" customHeight="1">
      <x:c r="A2" s="32" t="str">
        <x:v>Một nhiệm vụ chỉ Hoàn thành khi reviewer nhìn thấy file, chạy lại kiểm tra quan trọng và ghi bằng chứng.</x:v>
      </x:c>
      <x:c r="B2" s="32"/>
      <x:c r="C2" s="32"/>
      <x:c r="D2" s="32"/>
      <x:c r="E2" s="32"/>
      <x:c r="F2" s="32"/>
      <x:c r="G2" s="32"/>
    </x:row>
    <x:row r="4" ht="38" customHeight="1">
      <x:c r="A4" s="18" t="str">
        <x:v>Thành viên/nhóm</x:v>
      </x:c>
      <x:c r="B4" s="18" t="str">
        <x:v>Phạm vi</x:v>
      </x:c>
      <x:c r="C4" s="18" t="str">
        <x:v>Kiểm tra bắt buộc</x:v>
      </x:c>
      <x:c r="D4" s="18" t="str">
        <x:v>Reviewer</x:v>
      </x:c>
      <x:c r="E4" s="18" t="str">
        <x:v>Bằng chứng đạt</x:v>
      </x:c>
      <x:c r="F4" s="18" t="str">
        <x:v>Lỗi không chấp nhận</x:v>
      </x:c>
      <x:c r="G4" s="18" t="str">
        <x:v>Người sửa</x:v>
      </x:c>
    </x:row>
    <x:row r="5" ht="60" customHeight="1">
      <x:c r="A5" s="25" t="str">
        <x:v>TV1</x:v>
      </x:c>
      <x:c r="B5" s="25" t="str">
        <x:v>Inventory/EDA</x:v>
      </x:c>
      <x:c r="C5" s="25" t="str">
        <x:v>Số ảnh/lớp; corrupt; duplicate; thống kê/figure</x:v>
      </x:c>
      <x:c r="D5" s="25" t="str">
        <x:v>TV2</x:v>
      </x:c>
      <x:c r="E5" s="25" t="str">
        <x:v>CSV/JSON + figure + test log</x:v>
      </x:c>
      <x:c r="F5" s="25" t="str">
        <x:v>Số khác README/report/slide</x:v>
      </x:c>
      <x:c r="G5" s="25" t="str">
        <x:v>TV1</x:v>
      </x:c>
    </x:row>
    <x:row r="6" ht="60" customHeight="1">
      <x:c r="A6" s="36" t="str">
        <x:v>TV1</x:v>
      </x:c>
      <x:c r="B6" s="36" t="str">
        <x:v>Split + suy giảm</x:v>
      </x:c>
      <x:c r="C6" s="36" t="str">
        <x:v>0 overlap; seed; 5×3; dtype/range; 49 metric ảnh</x:v>
      </x:c>
      <x:c r="D6" s="36" t="str">
        <x:v>TV2</x:v>
      </x:c>
      <x:c r="E6" s="36" t="str">
        <x:v>Split CSV + params + grid</x:v>
      </x:c>
      <x:c r="F6" s="36" t="str">
        <x:v>Thiếu seed; tham số lệch notebook</x:v>
      </x:c>
      <x:c r="G6" s="36" t="str">
        <x:v>TV1</x:v>
      </x:c>
    </x:row>
    <x:row r="7" ht="60" customHeight="1">
      <x:c r="A7" s="25" t="str">
        <x:v>TV2</x:v>
      </x:c>
      <x:c r="B7" s="25" t="str">
        <x:v>Enhancement</x:v>
      </x:c>
      <x:c r="C7" s="25" t="str">
        <x:v>Method dùng chung source; candidate chọn bằng Validation</x:v>
      </x:c>
      <x:c r="D7" s="25" t="str">
        <x:v>TV1</x:v>
      </x:c>
      <x:c r="E7" s="25" t="str">
        <x:v>Source + locked params + figure</x:v>
      </x:c>
      <x:c r="F7" s="25" t="str">
        <x:v>Dùng Test chọn phương pháp</x:v>
      </x:c>
      <x:c r="G7" s="25" t="str">
        <x:v>TV2</x:v>
      </x:c>
    </x:row>
    <x:row r="8" ht="60" customHeight="1">
      <x:c r="A8" s="36" t="str">
        <x:v>TV2</x:v>
      </x:c>
      <x:c r="B8" s="36" t="str">
        <x:v>CNN + đánh giá</x:v>
      </x:c>
      <x:c r="C8" s="36" t="str">
        <x:v>Một MobileNetV2; 1+15+33; metric/per-class/confusion</x:v>
      </x:c>
      <x:c r="D8" s="36" t="str">
        <x:v>TV1</x:v>
      </x:c>
      <x:c r="E8" s="36" t="str">
        <x:v>Model + manifest + CSV + figures</x:v>
      </x:c>
      <x:c r="F8" s="36" t="str">
        <x:v>Surrogate; đổi class order/kiến trúc</x:v>
      </x:c>
      <x:c r="G8" s="36" t="str">
        <x:v>TV2</x:v>
      </x:c>
    </x:row>
    <x:row r="9" ht="60" customHeight="1">
      <x:c r="A9" s="25" t="str">
        <x:v>TV3</x:v>
      </x:c>
      <x:c r="B9" s="25" t="str">
        <x:v>Repository/Docker/CI</x:v>
      </x:c>
      <x:c r="C9" s="25" t="str">
        <x:v>Root dependency; một Dockerfile; compile/test/validator</x:v>
      </x:c>
      <x:c r="D9" s="25" t="str">
        <x:v>TV1 &amp; TV2</x:v>
      </x:c>
      <x:c r="E9" s="25" t="str">
        <x:v>CI log + Docker/Streamlit smoke</x:v>
      </x:c>
      <x:c r="F9" s="25" t="str">
        <x:v>Secret; dataset/archive; hai service</x:v>
      </x:c>
      <x:c r="G9" s="25" t="str">
        <x:v>TV3</x:v>
      </x:c>
    </x:row>
    <x:row r="10" ht="60" customHeight="1">
      <x:c r="A10" s="36" t="str">
        <x:v>TV3</x:v>
      </x:c>
      <x:c r="B10" s="36" t="str">
        <x:v>Streamlit standalone</x:v>
      </x:c>
      <x:c r="C10" s="36" t="str">
        <x:v>Bytes/MIME/size/EXIF; cache model; locked params; one batch; error states</x:v>
      </x:c>
      <x:c r="D10" s="36" t="str">
        <x:v>TV1 &amp; TV2</x:v>
      </x:c>
      <x:c r="E10" s="36" t="str">
        <x:v>AppTest/local smoke + screenshot thật</x:v>
      </x:c>
      <x:c r="F10" s="36" t="str">
        <x:v>HTTP nội bộ; fallback surrogate; reload model</x:v>
      </x:c>
      <x:c r="G10" s="36" t="str">
        <x:v>TV3</x:v>
      </x:c>
    </x:row>
    <x:row r="11" ht="60" customHeight="1">
      <x:c r="A11" s="25" t="str">
        <x:v>TV3</x:v>
      </x:c>
      <x:c r="B11" s="25" t="str">
        <x:v>GitHub/Streamlit Cloud</x:v>
      </x:c>
      <x:c r="C11" s="25" t="str">
        <x:v>CI; URL thật; commit/checksum; anonymous smoke; rollback</x:v>
      </x:c>
      <x:c r="D11" s="25" t="str">
        <x:v>TV2</x:v>
      </x:c>
      <x:c r="E11" s="25" t="str">
        <x:v>Actions + URL + deployment_verification.json</x:v>
      </x:c>
      <x:c r="F11" s="25" t="str">
        <x:v>URL/mockup giả; secret trong log</x:v>
      </x:c>
      <x:c r="G11" s="25" t="str">
        <x:v>TV3</x:v>
      </x:c>
    </x:row>
    <x:row r="12" ht="60" customHeight="1">
      <x:c r="A12" s="36" t="str">
        <x:v>TV3</x:v>
      </x:c>
      <x:c r="B12" s="36" t="str">
        <x:v>Word/README/slide/Excel</x:v>
      </x:c>
      <x:c r="C12" s="36" t="str">
        <x:v>Streamlit-only; render; 22 slide; notes tương đối; 7 sheet; vùng in</x:v>
      </x:c>
      <x:c r="D12" s="36" t="str">
        <x:v>TV1 &amp; TV2</x:v>
      </x:c>
      <x:c r="E12" s="36" t="str">
        <x:v>REPORT_FINAL; SLIDES_FINAL; ASSIGNMENT_FINAL</x:v>
      </x:c>
      <x:c r="F12" s="36" t="str">
        <x:v>Số chưa chạy; path cũ; clipping</x:v>
      </x:c>
      <x:c r="G12" s="36" t="str">
        <x:v>TV3 + tác giả nội dung</x:v>
      </x:c>
    </x:row>
    <x:row r="13" ht="60" customHeight="1">
      <x:c r="A13" s="25" t="str">
        <x:v>Cả nhóm</x:v>
      </x:c>
      <x:c r="B13" s="25" t="str">
        <x:v>Đồng bộ</x:v>
      </x:c>
      <x:c r="C13" s="25" t="str">
        <x:v>3.668/split/class order/49/model/metric/URL cùng nguồn</x:v>
      </x:c>
      <x:c r="D13" s="25" t="str">
        <x:v>Cả nhóm</x:v>
      </x:c>
      <x:c r="E13" s="25" t="str">
        <x:v>Validator + consistency report</x:v>
      </x:c>
      <x:c r="F13" s="25" t="str">
        <x:v>Nhập số tay khác CSV</x:v>
      </x:c>
      <x:c r="G13" s="25" t="str">
        <x:v>Người tạo sai lệch</x:v>
      </x:c>
    </x:row>
    <x:row r="14" ht="60" customHeight="1">
      <x:c r="A14" s="36" t="str">
        <x:v>Cả nhóm</x:v>
      </x:c>
      <x:c r="B14" s="36" t="str">
        <x:v>Bàn giao</x:v>
      </x:c>
      <x:c r="C14" s="36" t="str">
        <x:v>ZIP mở được; checksum; không data/secret; strict blocker công khai</x:v>
      </x:c>
      <x:c r="D14" s="36" t="str">
        <x:v>Cả nhóm</x:v>
      </x:c>
      <x:c r="E14" s="36" t="str">
        <x:v>Package + SHA256SUMS</x:v>
      </x:c>
      <x:c r="F14" s="36" t="str">
        <x:v>Thiếu source hoặc nhận 95 khi chưa FULL_RUN</x:v>
      </x:c>
      <x:c r="G14" s="36" t="str">
        <x:v>TV3</x:v>
      </x:c>
    </x:row>
    <x:row r="15" ht="60" customHeight="1">
      <x:c r="A15" s="25"/>
      <x:c r="B15" s="25"/>
      <x:c r="C15" s="25"/>
      <x:c r="D15" s="25"/>
      <x:c r="E15" s="25"/>
      <x:c r="F15" s="25"/>
      <x:c r="G15" s="25"/>
    </x:row>
  </x:sheetData>
  <x:mergeCells>
    <x:mergeCell ref="A1:G1"/>
    <x:mergeCell ref="A2:G2"/>
  </x:mergeCells>
  <x:pageMargins left="0.7" right="0.7" top="0.75" bottom="0.75" header="0.3" footer="0.3"/>
</x:worksheet>
</file>